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Entwicklungen\share\DataScienceProject\sep24_cds_int_us-welding\misc\"/>
    </mc:Choice>
  </mc:AlternateContent>
  <bookViews>
    <workbookView xWindow="0" yWindow="0" windowWidth="22605" windowHeight="11505" tabRatio="738" activeTab="2"/>
  </bookViews>
  <sheets>
    <sheet name="design-points-01.csv" sheetId="6" r:id="rId1"/>
    <sheet name="design-points-02.csv" sheetId="5" r:id="rId2"/>
    <sheet name="design-points-03.csv" sheetId="7" r:id="rId3"/>
    <sheet name="mode-ident-full-0x.dat" sheetId="1" r:id="rId4"/>
    <sheet name="tbl-modes-(dp).dat" sheetId="2" r:id="rId5"/>
    <sheet name="tbl-nodes-(dp).dat" sheetId="3" r:id="rId6"/>
    <sheet name="tbl-defs-(dp).dat" sheetId="4" r:id="rId7"/>
    <sheet name="Structure" sheetId="8" r:id="rId8"/>
  </sheets>
  <calcPr calcId="162913"/>
</workbook>
</file>

<file path=xl/calcChain.xml><?xml version="1.0" encoding="utf-8"?>
<calcChain xmlns="http://schemas.openxmlformats.org/spreadsheetml/2006/main"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9" i="6"/>
  <c r="A8" i="6"/>
  <c r="A7" i="6"/>
  <c r="A7" i="5" l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7" i="2"/>
  <c r="A8" i="2" s="1"/>
  <c r="A9" i="2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7" i="1"/>
</calcChain>
</file>

<file path=xl/sharedStrings.xml><?xml version="1.0" encoding="utf-8"?>
<sst xmlns="http://schemas.openxmlformats.org/spreadsheetml/2006/main" count="586" uniqueCount="201">
  <si>
    <t xml:space="preserve"># Column </t>
  </si>
  <si>
    <t>Name of the Column</t>
  </si>
  <si>
    <t>Variable's type</t>
  </si>
  <si>
    <t>Description</t>
  </si>
  <si>
    <t xml:space="preserve">Is the variable available before prediction </t>
  </si>
  <si>
    <t>Percentage of missing values</t>
  </si>
  <si>
    <t xml:space="preserve">Categorical / Quantitative </t>
  </si>
  <si>
    <t>Distribution</t>
  </si>
  <si>
    <t>Comments</t>
  </si>
  <si>
    <t>Is the variable a feature or the target ? (Only applicable for supervised learning projects)</t>
  </si>
  <si>
    <t>What does this variable represent (from a business perspective ?)</t>
  </si>
  <si>
    <t>Is this variable known before the prediction is made ? (Only applicable for supervised learning projects)</t>
  </si>
  <si>
    <t>int64, float etc...
If "object", develop.</t>
  </si>
  <si>
    <t>in %</t>
  </si>
  <si>
    <t>For categorical variables with less than 10 categories, list all categories.
For quantitative variables, detail the distribution (basic descriptive statistics)</t>
  </si>
  <si>
    <t>Free text</t>
  </si>
  <si>
    <t>dp_no</t>
  </si>
  <si>
    <t>mode_no</t>
  </si>
  <si>
    <t>freq</t>
  </si>
  <si>
    <t>rel_dev</t>
  </si>
  <si>
    <t>mean_in_disp</t>
  </si>
  <si>
    <t>mean_out_disp</t>
  </si>
  <si>
    <t>mode_gain</t>
  </si>
  <si>
    <t>mode_mac</t>
  </si>
  <si>
    <t>Original name: DPNr</t>
  </si>
  <si>
    <t>Original name: ModeNr</t>
  </si>
  <si>
    <t>Original name: Freq</t>
  </si>
  <si>
    <t>Original name: RelAbw</t>
  </si>
  <si>
    <t>Original name: MeanUey</t>
  </si>
  <si>
    <t>Original name: MeanUay</t>
  </si>
  <si>
    <t>Original name: ModeTran</t>
  </si>
  <si>
    <t>Original name: ModeMAC</t>
  </si>
  <si>
    <t>node_no</t>
  </si>
  <si>
    <t>x_coord</t>
  </si>
  <si>
    <t>y_coord</t>
  </si>
  <si>
    <t>z_coord</t>
  </si>
  <si>
    <t>feature</t>
  </si>
  <si>
    <t>Node number</t>
  </si>
  <si>
    <t>X coordinate</t>
  </si>
  <si>
    <t>Y coordinate</t>
  </si>
  <si>
    <t>Z coordinate</t>
  </si>
  <si>
    <t>yes</t>
  </si>
  <si>
    <t>int64</t>
  </si>
  <si>
    <t>float</t>
  </si>
  <si>
    <t>quantitative</t>
  </si>
  <si>
    <t>mode1</t>
  </si>
  <si>
    <t>mode2</t>
  </si>
  <si>
    <t>…</t>
  </si>
  <si>
    <t>mode100</t>
  </si>
  <si>
    <t>Node displacements for mode 1</t>
  </si>
  <si>
    <t>Node displacements for mode 2</t>
  </si>
  <si>
    <t>Node displacements for mode 100</t>
  </si>
  <si>
    <t>no</t>
  </si>
  <si>
    <t>a</t>
  </si>
  <si>
    <t>b</t>
  </si>
  <si>
    <t>c</t>
  </si>
  <si>
    <t>e</t>
  </si>
  <si>
    <t>d</t>
  </si>
  <si>
    <t>Slot length</t>
  </si>
  <si>
    <t>Slot position</t>
  </si>
  <si>
    <t>Length</t>
  </si>
  <si>
    <t>Nodal offset</t>
  </si>
  <si>
    <t>Input width</t>
  </si>
  <si>
    <t>Design point number</t>
  </si>
  <si>
    <t>dim_x</t>
  </si>
  <si>
    <t>slot_x_distance</t>
  </si>
  <si>
    <t>nb_slots_z</t>
  </si>
  <si>
    <t>slot_z_length</t>
  </si>
  <si>
    <t>slot_z_distance</t>
  </si>
  <si>
    <t>chamfer_x_dim_y</t>
  </si>
  <si>
    <t>chamfer_x_dim_z</t>
  </si>
  <si>
    <t>chamfer_y_dim_x</t>
  </si>
  <si>
    <t>chamfer_y_dim_z</t>
  </si>
  <si>
    <t>chamfer_z_dim_x</t>
  </si>
  <si>
    <t>chamfer_z_dim_y</t>
  </si>
  <si>
    <t>elefoot_x</t>
  </si>
  <si>
    <t>elefoot_z</t>
  </si>
  <si>
    <t>cut_x_start</t>
  </si>
  <si>
    <t>cut_x_end</t>
  </si>
  <si>
    <t>cut_x_depth</t>
  </si>
  <si>
    <t>cut_z_start</t>
  </si>
  <si>
    <t>cut_z_end</t>
  </si>
  <si>
    <t>cut_z_depth</t>
  </si>
  <si>
    <t>dim_y</t>
  </si>
  <si>
    <t>dim_z</t>
  </si>
  <si>
    <t>nb_slots_x</t>
  </si>
  <si>
    <t>slot_x_length</t>
  </si>
  <si>
    <t>between 22 and 38</t>
  </si>
  <si>
    <t>between 78 and 98</t>
  </si>
  <si>
    <t>between 83 and 93</t>
  </si>
  <si>
    <t>between 0 and 600</t>
  </si>
  <si>
    <t>between 128 and 134</t>
  </si>
  <si>
    <t>between 0,1 and 7</t>
  </si>
  <si>
    <t>between 40 and 50</t>
  </si>
  <si>
    <t>between 100 and 2100</t>
  </si>
  <si>
    <t>Number of lines in the table : 2001</t>
  </si>
  <si>
    <t>Number of lines in the table : 601</t>
  </si>
  <si>
    <t>Number of lines in the table : 8001</t>
  </si>
  <si>
    <t>between 1000 and 11999</t>
  </si>
  <si>
    <t>Thickness</t>
  </si>
  <si>
    <t>Width</t>
  </si>
  <si>
    <t>Number of slots X</t>
  </si>
  <si>
    <t>Slot X length</t>
  </si>
  <si>
    <t>Slot X distance</t>
  </si>
  <si>
    <t>Number of slots Z</t>
  </si>
  <si>
    <t>Slot Z length</t>
  </si>
  <si>
    <t>Slot Z distance</t>
  </si>
  <si>
    <t>Chamfer XY</t>
  </si>
  <si>
    <t>Chamfer XZ</t>
  </si>
  <si>
    <t>Chamfer YX</t>
  </si>
  <si>
    <t>Chamfer YZ</t>
  </si>
  <si>
    <t>Chamfer ZX</t>
  </si>
  <si>
    <t>Chamfer ZY</t>
  </si>
  <si>
    <t>Elefant foot X</t>
  </si>
  <si>
    <t>Elefant foot Z</t>
  </si>
  <si>
    <t>Cut off X start</t>
  </si>
  <si>
    <t>Cut off X end</t>
  </si>
  <si>
    <t>Cut off X depth</t>
  </si>
  <si>
    <t>Cut off Z start</t>
  </si>
  <si>
    <t>Cut off Z end</t>
  </si>
  <si>
    <t>Cut off Z depth</t>
  </si>
  <si>
    <t>between 173 and 177</t>
  </si>
  <si>
    <t>between 115 and 125</t>
  </si>
  <si>
    <t>between 238 and 242</t>
  </si>
  <si>
    <t>3 or 4</t>
  </si>
  <si>
    <t>between 74 and 83</t>
  </si>
  <si>
    <t>between 41 and 55</t>
  </si>
  <si>
    <t>2 or 3</t>
  </si>
  <si>
    <t>between 49 and 67</t>
  </si>
  <si>
    <t>between 0,1 and 20</t>
  </si>
  <si>
    <t>between 0,1 and 5</t>
  </si>
  <si>
    <t>between 20 and 60</t>
  </si>
  <si>
    <t>between 60 and 100</t>
  </si>
  <si>
    <t>between 20 and 45</t>
  </si>
  <si>
    <t>between 45 and 70</t>
  </si>
  <si>
    <t>categorical</t>
  </si>
  <si>
    <t>between 0 and 11999</t>
  </si>
  <si>
    <t>Number of lines in the table : (familly 01: 601)
(familly 02: 2001)
(familly 03: 8001)</t>
  </si>
  <si>
    <t>target</t>
  </si>
  <si>
    <t>Mode number of the longitudinal mode</t>
  </si>
  <si>
    <t>from 1 to 100</t>
  </si>
  <si>
    <t>Frequency of the longitudinal mode</t>
  </si>
  <si>
    <t>Relative deviation of the displacement of the output surface</t>
  </si>
  <si>
    <t>Average displacement of the output surface</t>
  </si>
  <si>
    <t>Gain of the long. mode (output / input displacement)</t>
  </si>
  <si>
    <t>MAC value of the long. mode</t>
  </si>
  <si>
    <t>Average displacement of the input displacement</t>
  </si>
  <si>
    <t>Original name: Freq
(redundant value)</t>
  </si>
  <si>
    <t>Original name: RelAbw
(redundant value)</t>
  </si>
  <si>
    <t>Original name: MeanUey
(redundant value)</t>
  </si>
  <si>
    <t>Original name: MeanUay
(redundant value)</t>
  </si>
  <si>
    <t>Original name: ModeTran
(redundant value)</t>
  </si>
  <si>
    <t>Original name: ModeMAC
(redundant value)</t>
  </si>
  <si>
    <t>between 0 and 1</t>
  </si>
  <si>
    <t>above 0</t>
  </si>
  <si>
    <t>Number of lines in the table : 100</t>
  </si>
  <si>
    <t>mode-ident-full.dat</t>
  </si>
  <si>
    <t>./modes</t>
  </si>
  <si>
    <t>./nodes.dat</t>
  </si>
  <si>
    <t>./defs.dat</t>
  </si>
  <si>
    <t>tbl-modes-11999.dat</t>
  </si>
  <si>
    <t>tbl-modes-0.dat</t>
  </si>
  <si>
    <t>tbl-modes-1.dat</t>
  </si>
  <si>
    <t>design-points-03.csv</t>
  </si>
  <si>
    <t>./data-03</t>
  </si>
  <si>
    <t>tbl-nodes-0.dat</t>
  </si>
  <si>
    <t>tbl-nodes-1.dat</t>
  </si>
  <si>
    <t>tbl-nodes-11999.dat</t>
  </si>
  <si>
    <t>tbl-defs-0.dat</t>
  </si>
  <si>
    <t>tbl-defs-1.dat</t>
  </si>
  <si>
    <t>tbl-defs-11999.dat</t>
  </si>
  <si>
    <t>between -dim_x/2 and +dim_x/2</t>
  </si>
  <si>
    <t>0 or -0,13327</t>
  </si>
  <si>
    <t>between -dim_z/2 and +dim_z/2</t>
  </si>
  <si>
    <t>Number of lines in the table : 
(number of nodes at the output surface)</t>
  </si>
  <si>
    <t>Constant value, since the nodes are located on the output surface</t>
  </si>
  <si>
    <t>Dictionary</t>
  </si>
  <si>
    <t>all_data</t>
  </si>
  <si>
    <t>'03'</t>
  </si>
  <si>
    <t>'parameters'</t>
  </si>
  <si>
    <t>'01'</t>
  </si>
  <si>
    <t>'design_data'</t>
  </si>
  <si>
    <t>'modes'</t>
  </si>
  <si>
    <t>'nodes'</t>
  </si>
  <si>
    <t>'defs'</t>
  </si>
  <si>
    <t>'02'</t>
  </si>
  <si>
    <t>Files</t>
  </si>
  <si>
    <t>'identification'</t>
  </si>
  <si>
    <t>seg_x_out</t>
  </si>
  <si>
    <t>seg_z_out</t>
  </si>
  <si>
    <t>(dim_z-(nb_slots_x-1)*slot_x_distance)/2</t>
  </si>
  <si>
    <t>(dim_x-(nb_slots_z-1)*slot_z_distance)/2</t>
  </si>
  <si>
    <t>slot_2-2</t>
  </si>
  <si>
    <t>slot_3-2</t>
  </si>
  <si>
    <t>slot_4-1</t>
  </si>
  <si>
    <t>slot_4-2</t>
  </si>
  <si>
    <t>lst_slot_class</t>
  </si>
  <si>
    <t>x
lst_cols</t>
  </si>
  <si>
    <t>lst_calc</t>
  </si>
  <si>
    <t>lst_nb_slots</t>
  </si>
  <si>
    <t>xvar
lst_var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</si>
</sst>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</font>
    <font>
      <sz val="10"/>
      <color rgb="FF00000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0" fontId="1" fillId="0" borderId="0" xfId="0" applyNumberFormat="1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0" fontId="0" fillId="4" borderId="0" xfId="0" applyFont="1" applyFill="1" applyAlignment="1"/>
    <xf numFmtId="0" fontId="4" fillId="4" borderId="0" xfId="0" applyFont="1" applyFill="1" applyAlignment="1"/>
    <xf numFmtId="0" fontId="1" fillId="4" borderId="1" xfId="0" applyFont="1" applyFill="1" applyBorder="1" applyAlignment="1"/>
    <xf numFmtId="0" fontId="1" fillId="4" borderId="2" xfId="0" applyFont="1" applyFill="1" applyBorder="1" applyAlignment="1"/>
    <xf numFmtId="0" fontId="1" fillId="4" borderId="3" xfId="0" applyFont="1" applyFill="1" applyBorder="1" applyAlignment="1"/>
    <xf numFmtId="0" fontId="0" fillId="4" borderId="3" xfId="0" applyFont="1" applyFill="1" applyBorder="1" applyAlignment="1"/>
    <xf numFmtId="0" fontId="1" fillId="4" borderId="4" xfId="0" applyFont="1" applyFill="1" applyBorder="1" applyAlignment="1"/>
    <xf numFmtId="0" fontId="1" fillId="4" borderId="0" xfId="0" applyFont="1" applyFill="1" applyAlignment="1"/>
    <xf numFmtId="0" fontId="0" fillId="0" borderId="0" xfId="0" applyFont="1" applyAlignment="1">
      <alignment horizontal="center"/>
    </xf>
    <xf numFmtId="0" fontId="1" fillId="0" borderId="5" xfId="0" quotePrefix="1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1" fillId="0" borderId="0" xfId="0" quotePrefix="1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1" fillId="0" borderId="9" xfId="0" quotePrefix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left"/>
    </xf>
    <xf numFmtId="0" fontId="0" fillId="0" borderId="11" xfId="0" applyFont="1" applyBorder="1" applyAlignment="1">
      <alignment horizontal="center"/>
    </xf>
    <xf numFmtId="0" fontId="1" fillId="0" borderId="12" xfId="0" quotePrefix="1" applyFont="1" applyBorder="1" applyAlignment="1">
      <alignment horizontal="center"/>
    </xf>
    <xf numFmtId="0" fontId="0" fillId="0" borderId="6" xfId="0" applyFont="1" applyBorder="1" applyAlignment="1">
      <alignment horizontal="left"/>
    </xf>
    <xf numFmtId="0" fontId="1" fillId="3" borderId="13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10" fontId="1" fillId="0" borderId="14" xfId="0" applyNumberFormat="1" applyFont="1" applyBorder="1" applyAlignment="1">
      <alignment horizontal="left" vertical="center" wrapText="1"/>
    </xf>
    <xf numFmtId="0" fontId="1" fillId="3" borderId="15" xfId="0" applyFont="1" applyFill="1" applyBorder="1" applyAlignment="1">
      <alignment horizontal="center" vertical="center" wrapText="1"/>
    </xf>
    <xf numFmtId="10" fontId="1" fillId="0" borderId="0" xfId="0" applyNumberFormat="1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10" fontId="1" fillId="5" borderId="0" xfId="0" applyNumberFormat="1" applyFont="1" applyFill="1" applyBorder="1" applyAlignment="1">
      <alignment horizontal="left" vertical="center" wrapText="1"/>
    </xf>
    <xf numFmtId="0" fontId="1" fillId="5" borderId="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center" vertical="center" wrapText="1"/>
    </xf>
    <xf numFmtId="10" fontId="1" fillId="5" borderId="17" xfId="0" applyNumberFormat="1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left" vertical="center" wrapText="1"/>
    </xf>
    <xf numFmtId="0" fontId="1" fillId="6" borderId="15" xfId="0" applyFont="1" applyFill="1" applyBorder="1" applyAlignment="1">
      <alignment horizontal="center" vertical="center" wrapText="1"/>
    </xf>
    <xf numFmtId="10" fontId="1" fillId="7" borderId="0" xfId="0" applyNumberFormat="1" applyFont="1" applyFill="1" applyBorder="1" applyAlignment="1">
      <alignment horizontal="left" vertical="center" wrapText="1"/>
    </xf>
    <xf numFmtId="0" fontId="1" fillId="7" borderId="0" xfId="0" applyFont="1" applyFill="1" applyBorder="1" applyAlignment="1">
      <alignment horizontal="left" vertical="center" wrapText="1"/>
    </xf>
    <xf numFmtId="10" fontId="1" fillId="7" borderId="0" xfId="0" applyNumberFormat="1" applyFont="1" applyFill="1" applyAlignment="1">
      <alignment horizontal="left" vertical="center" wrapText="1"/>
    </xf>
    <xf numFmtId="0" fontId="1" fillId="7" borderId="0" xfId="0" applyFont="1" applyFill="1" applyAlignment="1"/>
    <xf numFmtId="10" fontId="1" fillId="0" borderId="0" xfId="0" applyNumberFormat="1" applyFont="1" applyAlignment="1">
      <alignment horizontal="left" vertical="center" textRotation="90" wrapText="1"/>
    </xf>
    <xf numFmtId="0" fontId="0" fillId="0" borderId="0" xfId="0" applyBorder="1"/>
    <xf numFmtId="0" fontId="1" fillId="0" borderId="0" xfId="0" applyFont="1" applyBorder="1" applyAlignment="1"/>
    <xf numFmtId="10" fontId="1" fillId="8" borderId="0" xfId="0" applyNumberFormat="1" applyFont="1" applyFill="1" applyBorder="1" applyAlignment="1">
      <alignment horizontal="left" vertical="center" wrapText="1"/>
    </xf>
    <xf numFmtId="0" fontId="0" fillId="7" borderId="0" xfId="0" applyFill="1" applyBorder="1"/>
    <xf numFmtId="10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4" sqref="H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9" width="18.85546875" style="1" customWidth="1"/>
    <col min="10" max="10" width="18.57031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96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90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87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88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/>
      <c r="C7" s="7"/>
      <c r="D7" s="8"/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7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7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6" sqref="H16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8" width="18.85546875" style="1" customWidth="1"/>
    <col min="9" max="9" width="21" style="1" customWidth="1"/>
    <col min="10" max="10" width="20.285156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14.7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94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89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87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 t="s">
        <v>55</v>
      </c>
      <c r="C7" s="7" t="s">
        <v>36</v>
      </c>
      <c r="D7" s="8" t="s">
        <v>60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91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 t="s">
        <v>57</v>
      </c>
      <c r="C8" s="7" t="s">
        <v>36</v>
      </c>
      <c r="D8" s="8" t="s">
        <v>61</v>
      </c>
      <c r="E8" s="7" t="s">
        <v>41</v>
      </c>
      <c r="F8" s="8" t="s">
        <v>43</v>
      </c>
      <c r="G8" s="8">
        <v>0</v>
      </c>
      <c r="H8" s="8" t="s">
        <v>44</v>
      </c>
      <c r="I8" s="8" t="s">
        <v>92</v>
      </c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 t="s">
        <v>56</v>
      </c>
      <c r="C9" s="7" t="s">
        <v>36</v>
      </c>
      <c r="D9" s="8" t="s">
        <v>62</v>
      </c>
      <c r="E9" s="7" t="s">
        <v>41</v>
      </c>
      <c r="F9" s="8" t="s">
        <v>43</v>
      </c>
      <c r="G9" s="8">
        <v>0</v>
      </c>
      <c r="H9" s="8" t="s">
        <v>44</v>
      </c>
      <c r="I9" s="8" t="s">
        <v>93</v>
      </c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tabSelected="1"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P13" sqref="P13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4" width="19.28515625" style="1" customWidth="1"/>
    <col min="5" max="5" width="17.85546875" style="1" customWidth="1"/>
    <col min="6" max="6" width="17.5703125" style="1" customWidth="1"/>
    <col min="7" max="7" width="12.140625" style="1" customWidth="1"/>
    <col min="8" max="8" width="18.85546875" style="1" customWidth="1"/>
    <col min="9" max="9" width="36.42578125" style="1" bestFit="1" customWidth="1"/>
    <col min="10" max="10" width="14.7109375" style="1" hidden="1" customWidth="1"/>
    <col min="11" max="15" width="5.5703125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97</v>
      </c>
      <c r="C1" s="11"/>
      <c r="D1" s="11"/>
      <c r="E1" s="11"/>
      <c r="F1" s="11"/>
      <c r="G1" s="11"/>
      <c r="H1" s="11"/>
      <c r="I1" s="11"/>
      <c r="J1" s="2"/>
      <c r="K1" s="2"/>
      <c r="L1" s="3"/>
      <c r="M1" s="3"/>
      <c r="N1" s="2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L2" s="11"/>
      <c r="M2" s="11"/>
      <c r="N2" s="11"/>
      <c r="O2" s="11"/>
    </row>
    <row r="3" spans="1:37" ht="87.75" customHeight="1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56" t="s">
        <v>197</v>
      </c>
      <c r="L3" s="56" t="s">
        <v>200</v>
      </c>
      <c r="M3" s="56" t="s">
        <v>198</v>
      </c>
      <c r="N3" s="56" t="s">
        <v>196</v>
      </c>
      <c r="O3" s="56" t="s">
        <v>199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3.5" thickBot="1" x14ac:dyDescent="0.25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98</v>
      </c>
      <c r="J4" s="57"/>
      <c r="K4" s="58"/>
      <c r="L4" s="58"/>
      <c r="M4" s="44"/>
      <c r="N4" s="58"/>
      <c r="O4" s="44"/>
      <c r="P4" s="44"/>
      <c r="Q4" s="8"/>
      <c r="R4" s="8"/>
    </row>
    <row r="5" spans="1:37" ht="15.75" customHeight="1" x14ac:dyDescent="0.2">
      <c r="A5" s="40">
        <v>2</v>
      </c>
      <c r="B5" s="41" t="s">
        <v>64</v>
      </c>
      <c r="C5" s="41" t="s">
        <v>36</v>
      </c>
      <c r="D5" s="42" t="s">
        <v>99</v>
      </c>
      <c r="E5" s="41" t="s">
        <v>41</v>
      </c>
      <c r="F5" s="42" t="s">
        <v>43</v>
      </c>
      <c r="G5" s="42">
        <v>0</v>
      </c>
      <c r="H5" s="42" t="s">
        <v>44</v>
      </c>
      <c r="I5" s="42" t="s">
        <v>121</v>
      </c>
      <c r="J5" s="57">
        <v>175.9</v>
      </c>
      <c r="K5" s="59"/>
      <c r="L5" s="59"/>
      <c r="M5" s="44"/>
      <c r="N5" s="44"/>
      <c r="O5" s="44"/>
      <c r="P5" s="44"/>
      <c r="Q5" s="8"/>
      <c r="R5" s="8"/>
    </row>
    <row r="6" spans="1:37" ht="15.75" customHeight="1" x14ac:dyDescent="0.2">
      <c r="A6" s="43">
        <v>3</v>
      </c>
      <c r="B6" s="44" t="s">
        <v>83</v>
      </c>
      <c r="C6" s="45" t="s">
        <v>36</v>
      </c>
      <c r="D6" s="44" t="s">
        <v>60</v>
      </c>
      <c r="E6" s="45" t="s">
        <v>41</v>
      </c>
      <c r="F6" s="44" t="s">
        <v>43</v>
      </c>
      <c r="G6" s="44">
        <v>0</v>
      </c>
      <c r="H6" s="44" t="s">
        <v>44</v>
      </c>
      <c r="I6" s="44" t="s">
        <v>122</v>
      </c>
      <c r="J6" s="57">
        <v>119.55</v>
      </c>
      <c r="K6" s="59"/>
      <c r="L6" s="59"/>
      <c r="M6" s="44"/>
      <c r="N6" s="44"/>
      <c r="O6" s="44"/>
      <c r="P6" s="44"/>
      <c r="Q6" s="8"/>
      <c r="R6" s="8"/>
    </row>
    <row r="7" spans="1:37" ht="15.75" customHeight="1" x14ac:dyDescent="0.2">
      <c r="A7" s="43">
        <f t="shared" ref="A7:A70" si="0">A6+1</f>
        <v>4</v>
      </c>
      <c r="B7" s="44" t="s">
        <v>84</v>
      </c>
      <c r="C7" s="45" t="s">
        <v>36</v>
      </c>
      <c r="D7" s="44" t="s">
        <v>100</v>
      </c>
      <c r="E7" s="45" t="s">
        <v>41</v>
      </c>
      <c r="F7" s="44" t="s">
        <v>43</v>
      </c>
      <c r="G7" s="44">
        <v>0</v>
      </c>
      <c r="H7" s="44" t="s">
        <v>44</v>
      </c>
      <c r="I7" s="44" t="s">
        <v>123</v>
      </c>
      <c r="J7" s="57">
        <v>241.84</v>
      </c>
      <c r="K7" s="59"/>
      <c r="L7" s="59"/>
      <c r="M7" s="44"/>
      <c r="N7" s="44"/>
      <c r="O7" s="44"/>
      <c r="P7" s="44"/>
      <c r="Q7" s="8"/>
      <c r="R7" s="8"/>
    </row>
    <row r="8" spans="1:37" s="55" customFormat="1" ht="12.75" x14ac:dyDescent="0.2">
      <c r="A8" s="51">
        <f t="shared" si="0"/>
        <v>5</v>
      </c>
      <c r="B8" s="52" t="s">
        <v>85</v>
      </c>
      <c r="C8" s="53" t="s">
        <v>36</v>
      </c>
      <c r="D8" s="52" t="s">
        <v>101</v>
      </c>
      <c r="E8" s="53" t="s">
        <v>41</v>
      </c>
      <c r="F8" s="52" t="s">
        <v>42</v>
      </c>
      <c r="G8" s="52">
        <v>0</v>
      </c>
      <c r="H8" s="52" t="s">
        <v>135</v>
      </c>
      <c r="I8" s="52" t="s">
        <v>124</v>
      </c>
      <c r="J8" s="60">
        <v>4</v>
      </c>
      <c r="K8" s="61"/>
      <c r="L8" s="61"/>
      <c r="M8" s="61"/>
      <c r="N8" s="61"/>
      <c r="O8" s="59"/>
      <c r="P8" s="52"/>
      <c r="Q8" s="54"/>
      <c r="R8" s="54"/>
    </row>
    <row r="9" spans="1:37" ht="15.75" customHeight="1" x14ac:dyDescent="0.2">
      <c r="A9" s="43">
        <f t="shared" si="0"/>
        <v>6</v>
      </c>
      <c r="B9" s="44" t="s">
        <v>86</v>
      </c>
      <c r="C9" s="45" t="s">
        <v>36</v>
      </c>
      <c r="D9" s="44" t="s">
        <v>102</v>
      </c>
      <c r="E9" s="45" t="s">
        <v>41</v>
      </c>
      <c r="F9" s="44" t="s">
        <v>43</v>
      </c>
      <c r="G9" s="44">
        <v>0</v>
      </c>
      <c r="H9" s="44" t="s">
        <v>44</v>
      </c>
      <c r="I9" s="44" t="s">
        <v>125</v>
      </c>
      <c r="J9" s="62">
        <v>74.2</v>
      </c>
      <c r="K9" s="59"/>
      <c r="L9" s="59"/>
      <c r="M9" s="44"/>
      <c r="N9" s="44"/>
      <c r="O9" s="44"/>
      <c r="P9" s="44"/>
      <c r="Q9" s="8"/>
      <c r="R9" s="8"/>
    </row>
    <row r="10" spans="1:37" ht="15.75" customHeight="1" x14ac:dyDescent="0.2">
      <c r="A10" s="43">
        <f t="shared" si="0"/>
        <v>7</v>
      </c>
      <c r="B10" s="44" t="s">
        <v>65</v>
      </c>
      <c r="C10" s="45" t="s">
        <v>36</v>
      </c>
      <c r="D10" s="44" t="s">
        <v>103</v>
      </c>
      <c r="E10" s="45" t="s">
        <v>41</v>
      </c>
      <c r="F10" s="44" t="s">
        <v>43</v>
      </c>
      <c r="G10" s="44">
        <v>0</v>
      </c>
      <c r="H10" s="44" t="s">
        <v>44</v>
      </c>
      <c r="I10" s="44" t="s">
        <v>126</v>
      </c>
      <c r="J10" s="62">
        <v>48.28</v>
      </c>
      <c r="K10" s="59"/>
      <c r="L10" s="59"/>
      <c r="M10" s="44"/>
      <c r="N10" s="44"/>
      <c r="O10" s="44"/>
      <c r="P10" s="44"/>
      <c r="Q10" s="8"/>
      <c r="R10" s="8"/>
    </row>
    <row r="11" spans="1:37" s="55" customFormat="1" ht="12.75" x14ac:dyDescent="0.2">
      <c r="A11" s="51">
        <f t="shared" si="0"/>
        <v>8</v>
      </c>
      <c r="B11" s="52" t="s">
        <v>66</v>
      </c>
      <c r="C11" s="53" t="s">
        <v>36</v>
      </c>
      <c r="D11" s="52" t="s">
        <v>104</v>
      </c>
      <c r="E11" s="53" t="s">
        <v>41</v>
      </c>
      <c r="F11" s="52" t="s">
        <v>42</v>
      </c>
      <c r="G11" s="52">
        <v>0</v>
      </c>
      <c r="H11" s="52" t="s">
        <v>135</v>
      </c>
      <c r="I11" s="52" t="s">
        <v>127</v>
      </c>
      <c r="J11" s="60">
        <v>2</v>
      </c>
      <c r="K11" s="61"/>
      <c r="L11" s="61"/>
      <c r="M11" s="61"/>
      <c r="N11" s="61"/>
      <c r="O11" s="59"/>
      <c r="P11" s="52"/>
      <c r="Q11" s="54"/>
      <c r="R11" s="54"/>
    </row>
    <row r="12" spans="1:37" ht="15.75" customHeight="1" x14ac:dyDescent="0.2">
      <c r="A12" s="43">
        <f t="shared" si="0"/>
        <v>9</v>
      </c>
      <c r="B12" s="44" t="s">
        <v>67</v>
      </c>
      <c r="C12" s="45" t="s">
        <v>36</v>
      </c>
      <c r="D12" s="44" t="s">
        <v>105</v>
      </c>
      <c r="E12" s="45" t="s">
        <v>41</v>
      </c>
      <c r="F12" s="44" t="s">
        <v>43</v>
      </c>
      <c r="G12" s="44">
        <v>0</v>
      </c>
      <c r="H12" s="44" t="s">
        <v>44</v>
      </c>
      <c r="I12" s="44" t="s">
        <v>125</v>
      </c>
      <c r="J12" s="62">
        <v>78.94</v>
      </c>
      <c r="K12" s="59"/>
      <c r="L12" s="59"/>
      <c r="M12" s="44"/>
      <c r="N12" s="44"/>
      <c r="O12" s="44"/>
      <c r="P12" s="44"/>
      <c r="Q12" s="8"/>
      <c r="R12" s="8"/>
    </row>
    <row r="13" spans="1:37" ht="15.75" customHeight="1" x14ac:dyDescent="0.2">
      <c r="A13" s="43">
        <f t="shared" si="0"/>
        <v>10</v>
      </c>
      <c r="B13" s="44" t="s">
        <v>68</v>
      </c>
      <c r="C13" s="45" t="s">
        <v>36</v>
      </c>
      <c r="D13" s="44" t="s">
        <v>106</v>
      </c>
      <c r="E13" s="45" t="s">
        <v>41</v>
      </c>
      <c r="F13" s="44" t="s">
        <v>43</v>
      </c>
      <c r="G13" s="44">
        <v>0</v>
      </c>
      <c r="H13" s="44" t="s">
        <v>44</v>
      </c>
      <c r="I13" s="44" t="s">
        <v>128</v>
      </c>
      <c r="J13" s="62">
        <v>49.15</v>
      </c>
      <c r="K13" s="59"/>
      <c r="L13" s="59"/>
      <c r="M13" s="44"/>
      <c r="N13" s="44"/>
      <c r="O13" s="44"/>
      <c r="P13" s="44"/>
      <c r="Q13" s="8"/>
      <c r="R13" s="8"/>
    </row>
    <row r="14" spans="1:37" ht="15.75" customHeight="1" x14ac:dyDescent="0.2">
      <c r="A14" s="43">
        <f t="shared" si="0"/>
        <v>11</v>
      </c>
      <c r="B14" s="44" t="s">
        <v>69</v>
      </c>
      <c r="C14" s="45" t="s">
        <v>36</v>
      </c>
      <c r="D14" s="44" t="s">
        <v>107</v>
      </c>
      <c r="E14" s="45" t="s">
        <v>41</v>
      </c>
      <c r="F14" s="44" t="s">
        <v>43</v>
      </c>
      <c r="G14" s="44">
        <v>0</v>
      </c>
      <c r="H14" s="44" t="s">
        <v>44</v>
      </c>
      <c r="I14" s="44" t="s">
        <v>129</v>
      </c>
      <c r="J14" s="62">
        <v>19.41</v>
      </c>
      <c r="K14" s="59"/>
      <c r="L14" s="59"/>
      <c r="M14" s="44"/>
      <c r="N14" s="44"/>
      <c r="O14" s="44"/>
      <c r="P14" s="44"/>
      <c r="Q14" s="8"/>
      <c r="R14" s="8"/>
    </row>
    <row r="15" spans="1:37" ht="15.75" customHeight="1" x14ac:dyDescent="0.2">
      <c r="A15" s="43">
        <f t="shared" si="0"/>
        <v>12</v>
      </c>
      <c r="B15" s="44" t="s">
        <v>70</v>
      </c>
      <c r="C15" s="45" t="s">
        <v>36</v>
      </c>
      <c r="D15" s="44" t="s">
        <v>108</v>
      </c>
      <c r="E15" s="45" t="s">
        <v>41</v>
      </c>
      <c r="F15" s="44" t="s">
        <v>43</v>
      </c>
      <c r="G15" s="44">
        <v>0</v>
      </c>
      <c r="H15" s="44" t="s">
        <v>44</v>
      </c>
      <c r="I15" s="44" t="s">
        <v>129</v>
      </c>
      <c r="J15" s="62">
        <v>19.93</v>
      </c>
      <c r="K15" s="59"/>
      <c r="L15" s="59"/>
      <c r="M15" s="44"/>
      <c r="N15" s="44"/>
      <c r="O15" s="44"/>
      <c r="P15" s="44"/>
      <c r="Q15" s="8"/>
      <c r="R15" s="8"/>
    </row>
    <row r="16" spans="1:37" ht="15.75" customHeight="1" x14ac:dyDescent="0.2">
      <c r="A16" s="43">
        <f t="shared" si="0"/>
        <v>13</v>
      </c>
      <c r="B16" s="44" t="s">
        <v>71</v>
      </c>
      <c r="C16" s="45" t="s">
        <v>36</v>
      </c>
      <c r="D16" s="44" t="s">
        <v>109</v>
      </c>
      <c r="E16" s="45" t="s">
        <v>41</v>
      </c>
      <c r="F16" s="44" t="s">
        <v>43</v>
      </c>
      <c r="G16" s="44">
        <v>0</v>
      </c>
      <c r="H16" s="44" t="s">
        <v>44</v>
      </c>
      <c r="I16" s="44" t="s">
        <v>129</v>
      </c>
      <c r="J16" s="62">
        <v>7.28</v>
      </c>
      <c r="K16" s="59"/>
      <c r="L16" s="59"/>
      <c r="M16" s="44"/>
      <c r="N16" s="44"/>
      <c r="O16" s="44"/>
      <c r="P16" s="44"/>
      <c r="Q16" s="8"/>
      <c r="R16" s="8"/>
    </row>
    <row r="17" spans="1:18" ht="15.75" customHeight="1" x14ac:dyDescent="0.2">
      <c r="A17" s="43">
        <f t="shared" si="0"/>
        <v>14</v>
      </c>
      <c r="B17" s="44" t="s">
        <v>72</v>
      </c>
      <c r="C17" s="45" t="s">
        <v>36</v>
      </c>
      <c r="D17" s="44" t="s">
        <v>110</v>
      </c>
      <c r="E17" s="45" t="s">
        <v>41</v>
      </c>
      <c r="F17" s="44" t="s">
        <v>43</v>
      </c>
      <c r="G17" s="44">
        <v>0</v>
      </c>
      <c r="H17" s="44" t="s">
        <v>44</v>
      </c>
      <c r="I17" s="44" t="s">
        <v>129</v>
      </c>
      <c r="J17" s="62">
        <v>10.39</v>
      </c>
      <c r="K17" s="59"/>
      <c r="L17" s="59"/>
      <c r="M17" s="44"/>
      <c r="N17" s="44"/>
      <c r="O17" s="44"/>
      <c r="P17" s="44"/>
      <c r="Q17" s="8"/>
      <c r="R17" s="8"/>
    </row>
    <row r="18" spans="1:18" ht="15.75" customHeight="1" x14ac:dyDescent="0.2">
      <c r="A18" s="43">
        <f t="shared" si="0"/>
        <v>15</v>
      </c>
      <c r="B18" s="44" t="s">
        <v>73</v>
      </c>
      <c r="C18" s="45" t="s">
        <v>36</v>
      </c>
      <c r="D18" s="44" t="s">
        <v>111</v>
      </c>
      <c r="E18" s="45" t="s">
        <v>41</v>
      </c>
      <c r="F18" s="44" t="s">
        <v>43</v>
      </c>
      <c r="G18" s="44">
        <v>0</v>
      </c>
      <c r="H18" s="44" t="s">
        <v>44</v>
      </c>
      <c r="I18" s="44" t="s">
        <v>129</v>
      </c>
      <c r="J18" s="62">
        <v>7.79</v>
      </c>
      <c r="K18" s="59"/>
      <c r="L18" s="59"/>
      <c r="M18" s="44"/>
      <c r="N18" s="44"/>
      <c r="O18" s="44"/>
      <c r="P18" s="44"/>
      <c r="Q18" s="8"/>
      <c r="R18" s="8"/>
    </row>
    <row r="19" spans="1:18" ht="15.75" customHeight="1" x14ac:dyDescent="0.2">
      <c r="A19" s="43">
        <f t="shared" si="0"/>
        <v>16</v>
      </c>
      <c r="B19" s="44" t="s">
        <v>74</v>
      </c>
      <c r="C19" s="45" t="s">
        <v>36</v>
      </c>
      <c r="D19" s="44" t="s">
        <v>112</v>
      </c>
      <c r="E19" s="45" t="s">
        <v>41</v>
      </c>
      <c r="F19" s="44" t="s">
        <v>43</v>
      </c>
      <c r="G19" s="44">
        <v>0</v>
      </c>
      <c r="H19" s="44" t="s">
        <v>44</v>
      </c>
      <c r="I19" s="44" t="s">
        <v>129</v>
      </c>
      <c r="J19" s="62">
        <v>10.65</v>
      </c>
      <c r="K19" s="59"/>
      <c r="L19" s="59"/>
      <c r="M19" s="44"/>
      <c r="N19" s="44"/>
      <c r="O19" s="44"/>
      <c r="P19" s="44"/>
      <c r="Q19" s="8"/>
      <c r="R19" s="8"/>
    </row>
    <row r="20" spans="1:18" ht="15.75" customHeight="1" x14ac:dyDescent="0.2">
      <c r="A20" s="43">
        <f t="shared" si="0"/>
        <v>17</v>
      </c>
      <c r="B20" s="44" t="s">
        <v>75</v>
      </c>
      <c r="C20" s="45" t="s">
        <v>36</v>
      </c>
      <c r="D20" s="44" t="s">
        <v>113</v>
      </c>
      <c r="E20" s="45" t="s">
        <v>41</v>
      </c>
      <c r="F20" s="44" t="s">
        <v>43</v>
      </c>
      <c r="G20" s="44">
        <v>0</v>
      </c>
      <c r="H20" s="44" t="s">
        <v>44</v>
      </c>
      <c r="I20" s="44" t="s">
        <v>130</v>
      </c>
      <c r="J20" s="62">
        <v>0.85</v>
      </c>
      <c r="K20" s="59"/>
      <c r="L20" s="59"/>
      <c r="M20" s="44"/>
      <c r="N20" s="44"/>
      <c r="O20" s="44"/>
      <c r="P20" s="44"/>
      <c r="Q20" s="8"/>
      <c r="R20" s="8"/>
    </row>
    <row r="21" spans="1:18" ht="15.75" customHeight="1" x14ac:dyDescent="0.2">
      <c r="A21" s="43">
        <f t="shared" si="0"/>
        <v>18</v>
      </c>
      <c r="B21" s="44" t="s">
        <v>76</v>
      </c>
      <c r="C21" s="45" t="s">
        <v>36</v>
      </c>
      <c r="D21" s="44" t="s">
        <v>114</v>
      </c>
      <c r="E21" s="45" t="s">
        <v>41</v>
      </c>
      <c r="F21" s="44" t="s">
        <v>43</v>
      </c>
      <c r="G21" s="44">
        <v>0</v>
      </c>
      <c r="H21" s="44" t="s">
        <v>44</v>
      </c>
      <c r="I21" s="44" t="s">
        <v>130</v>
      </c>
      <c r="J21" s="62">
        <v>0.92</v>
      </c>
      <c r="K21" s="59"/>
      <c r="L21" s="59"/>
      <c r="M21" s="44"/>
      <c r="N21" s="44"/>
      <c r="O21" s="44"/>
      <c r="P21" s="44"/>
      <c r="Q21" s="8"/>
      <c r="R21" s="8"/>
    </row>
    <row r="22" spans="1:18" ht="15.75" customHeight="1" x14ac:dyDescent="0.2">
      <c r="A22" s="43">
        <f t="shared" si="0"/>
        <v>19</v>
      </c>
      <c r="B22" s="44" t="s">
        <v>77</v>
      </c>
      <c r="C22" s="45" t="s">
        <v>36</v>
      </c>
      <c r="D22" s="44" t="s">
        <v>115</v>
      </c>
      <c r="E22" s="45" t="s">
        <v>41</v>
      </c>
      <c r="F22" s="44" t="s">
        <v>43</v>
      </c>
      <c r="G22" s="44">
        <v>0</v>
      </c>
      <c r="H22" s="44" t="s">
        <v>44</v>
      </c>
      <c r="I22" s="44" t="s">
        <v>131</v>
      </c>
      <c r="J22" s="62">
        <v>45.18</v>
      </c>
      <c r="K22" s="59"/>
      <c r="L22" s="59"/>
      <c r="M22" s="44"/>
      <c r="N22" s="44"/>
      <c r="O22" s="44"/>
      <c r="P22" s="44"/>
      <c r="Q22" s="8"/>
      <c r="R22" s="8"/>
    </row>
    <row r="23" spans="1:18" ht="15.75" customHeight="1" x14ac:dyDescent="0.2">
      <c r="A23" s="43">
        <f t="shared" si="0"/>
        <v>20</v>
      </c>
      <c r="B23" s="44" t="s">
        <v>78</v>
      </c>
      <c r="C23" s="45" t="s">
        <v>36</v>
      </c>
      <c r="D23" s="44" t="s">
        <v>116</v>
      </c>
      <c r="E23" s="45" t="s">
        <v>41</v>
      </c>
      <c r="F23" s="44" t="s">
        <v>43</v>
      </c>
      <c r="G23" s="44">
        <v>0</v>
      </c>
      <c r="H23" s="44" t="s">
        <v>44</v>
      </c>
      <c r="I23" s="44" t="s">
        <v>132</v>
      </c>
      <c r="J23" s="62">
        <v>72.06</v>
      </c>
      <c r="K23" s="59"/>
      <c r="L23" s="59"/>
      <c r="M23" s="44"/>
      <c r="N23" s="44"/>
      <c r="O23" s="44"/>
      <c r="P23" s="44"/>
      <c r="Q23" s="8"/>
      <c r="R23" s="8"/>
    </row>
    <row r="24" spans="1:18" ht="15.75" customHeight="1" x14ac:dyDescent="0.2">
      <c r="A24" s="43">
        <f t="shared" si="0"/>
        <v>21</v>
      </c>
      <c r="B24" s="44" t="s">
        <v>79</v>
      </c>
      <c r="C24" s="45" t="s">
        <v>36</v>
      </c>
      <c r="D24" s="44" t="s">
        <v>117</v>
      </c>
      <c r="E24" s="45" t="s">
        <v>41</v>
      </c>
      <c r="F24" s="44" t="s">
        <v>43</v>
      </c>
      <c r="G24" s="44">
        <v>0</v>
      </c>
      <c r="H24" s="44" t="s">
        <v>44</v>
      </c>
      <c r="I24" s="44" t="s">
        <v>130</v>
      </c>
      <c r="J24" s="62">
        <v>2.2000000000000002</v>
      </c>
      <c r="K24" s="59"/>
      <c r="L24" s="59"/>
      <c r="M24" s="44"/>
      <c r="N24" s="44"/>
      <c r="O24" s="44"/>
      <c r="P24" s="44"/>
      <c r="Q24" s="8"/>
      <c r="R24" s="8"/>
    </row>
    <row r="25" spans="1:18" ht="15.75" customHeight="1" x14ac:dyDescent="0.2">
      <c r="A25" s="43">
        <f t="shared" si="0"/>
        <v>22</v>
      </c>
      <c r="B25" s="44" t="s">
        <v>80</v>
      </c>
      <c r="C25" s="45" t="s">
        <v>36</v>
      </c>
      <c r="D25" s="44" t="s">
        <v>118</v>
      </c>
      <c r="E25" s="45" t="s">
        <v>41</v>
      </c>
      <c r="F25" s="44" t="s">
        <v>43</v>
      </c>
      <c r="G25" s="44">
        <v>0</v>
      </c>
      <c r="H25" s="44" t="s">
        <v>44</v>
      </c>
      <c r="I25" s="44" t="s">
        <v>133</v>
      </c>
      <c r="J25" s="62">
        <v>26.31</v>
      </c>
      <c r="K25" s="59"/>
      <c r="L25" s="59"/>
      <c r="M25" s="44"/>
      <c r="N25" s="44"/>
      <c r="O25" s="44"/>
      <c r="P25" s="44"/>
      <c r="Q25" s="8"/>
      <c r="R25" s="8"/>
    </row>
    <row r="26" spans="1:18" ht="15.75" customHeight="1" x14ac:dyDescent="0.2">
      <c r="A26" s="43">
        <f t="shared" si="0"/>
        <v>23</v>
      </c>
      <c r="B26" s="44" t="s">
        <v>81</v>
      </c>
      <c r="C26" s="45" t="s">
        <v>36</v>
      </c>
      <c r="D26" s="44" t="s">
        <v>119</v>
      </c>
      <c r="E26" s="45" t="s">
        <v>41</v>
      </c>
      <c r="F26" s="44" t="s">
        <v>43</v>
      </c>
      <c r="G26" s="44">
        <v>0</v>
      </c>
      <c r="H26" s="44" t="s">
        <v>44</v>
      </c>
      <c r="I26" s="44" t="s">
        <v>134</v>
      </c>
      <c r="J26" s="62">
        <v>69.84</v>
      </c>
      <c r="K26" s="59"/>
      <c r="L26" s="59"/>
      <c r="M26" s="44"/>
      <c r="N26" s="44"/>
      <c r="O26" s="44"/>
      <c r="P26" s="44"/>
      <c r="Q26" s="8"/>
      <c r="R26" s="8"/>
    </row>
    <row r="27" spans="1:18" ht="15.75" customHeight="1" x14ac:dyDescent="0.2">
      <c r="A27" s="43">
        <f t="shared" si="0"/>
        <v>24</v>
      </c>
      <c r="B27" s="44" t="s">
        <v>82</v>
      </c>
      <c r="C27" s="45" t="s">
        <v>36</v>
      </c>
      <c r="D27" s="44" t="s">
        <v>120</v>
      </c>
      <c r="E27" s="45" t="s">
        <v>41</v>
      </c>
      <c r="F27" s="44" t="s">
        <v>43</v>
      </c>
      <c r="G27" s="44">
        <v>0</v>
      </c>
      <c r="H27" s="44" t="s">
        <v>44</v>
      </c>
      <c r="I27" s="44" t="s">
        <v>130</v>
      </c>
      <c r="J27" s="62">
        <v>1.75</v>
      </c>
      <c r="K27" s="59"/>
      <c r="L27" s="59"/>
      <c r="M27" s="44"/>
      <c r="N27" s="44"/>
      <c r="O27" s="44"/>
      <c r="P27" s="44"/>
      <c r="Q27" s="8"/>
      <c r="R27" s="8"/>
    </row>
    <row r="28" spans="1:18" ht="15.75" customHeight="1" x14ac:dyDescent="0.2">
      <c r="A28" s="43">
        <f t="shared" si="0"/>
        <v>25</v>
      </c>
      <c r="B28" s="46" t="s">
        <v>188</v>
      </c>
      <c r="C28" s="47"/>
      <c r="D28" s="46"/>
      <c r="E28" s="46"/>
      <c r="F28" s="46"/>
      <c r="G28" s="46"/>
      <c r="H28" s="46"/>
      <c r="I28" s="46" t="s">
        <v>190</v>
      </c>
      <c r="J28" s="44"/>
      <c r="K28" s="59"/>
      <c r="L28" s="44"/>
      <c r="M28" s="59"/>
      <c r="N28" s="44"/>
      <c r="O28" s="44"/>
      <c r="P28" s="44"/>
      <c r="Q28" s="8"/>
      <c r="R28" s="8"/>
    </row>
    <row r="29" spans="1:18" ht="15.75" customHeight="1" thickBot="1" x14ac:dyDescent="0.25">
      <c r="A29" s="48">
        <f t="shared" si="0"/>
        <v>26</v>
      </c>
      <c r="B29" s="49" t="s">
        <v>189</v>
      </c>
      <c r="C29" s="50"/>
      <c r="D29" s="49"/>
      <c r="E29" s="49"/>
      <c r="F29" s="49"/>
      <c r="G29" s="49"/>
      <c r="H29" s="49"/>
      <c r="I29" s="49" t="s">
        <v>191</v>
      </c>
      <c r="J29" s="44"/>
      <c r="K29" s="59"/>
      <c r="L29" s="44"/>
      <c r="M29" s="59"/>
      <c r="N29" s="44"/>
      <c r="O29" s="44"/>
      <c r="P29" s="44"/>
      <c r="Q29" s="8"/>
      <c r="R29" s="8"/>
    </row>
    <row r="30" spans="1:18" ht="15.75" customHeight="1" x14ac:dyDescent="0.2">
      <c r="A30" s="12">
        <f t="shared" si="0"/>
        <v>27</v>
      </c>
      <c r="B30" s="8" t="s">
        <v>192</v>
      </c>
      <c r="C30" s="7"/>
      <c r="D30" s="8"/>
      <c r="E30" s="8"/>
      <c r="F30" s="8"/>
      <c r="G30" s="8"/>
      <c r="H30" s="8"/>
      <c r="I30" s="8"/>
      <c r="J30" s="44"/>
      <c r="K30" s="59"/>
      <c r="L30" s="44"/>
      <c r="M30" s="44"/>
      <c r="N30" s="59"/>
      <c r="O30" s="44"/>
      <c r="P30" s="44"/>
      <c r="Q30" s="8"/>
      <c r="R30" s="8"/>
    </row>
    <row r="31" spans="1:18" ht="15.75" customHeight="1" x14ac:dyDescent="0.2">
      <c r="A31" s="12">
        <f t="shared" si="0"/>
        <v>28</v>
      </c>
      <c r="B31" s="8" t="s">
        <v>193</v>
      </c>
      <c r="C31" s="7"/>
      <c r="D31" s="8"/>
      <c r="E31" s="8"/>
      <c r="F31" s="8"/>
      <c r="G31" s="8"/>
      <c r="H31" s="8"/>
      <c r="I31" s="8"/>
      <c r="J31" s="44"/>
      <c r="K31" s="59"/>
      <c r="L31" s="44"/>
      <c r="M31" s="44"/>
      <c r="N31" s="59"/>
      <c r="O31" s="44"/>
      <c r="P31" s="44"/>
      <c r="Q31" s="8"/>
      <c r="R31" s="8"/>
    </row>
    <row r="32" spans="1:18" ht="15.75" customHeight="1" x14ac:dyDescent="0.2">
      <c r="A32" s="12">
        <f t="shared" si="0"/>
        <v>29</v>
      </c>
      <c r="B32" s="8" t="s">
        <v>194</v>
      </c>
      <c r="C32" s="7"/>
      <c r="D32" s="8"/>
      <c r="E32" s="8"/>
      <c r="F32" s="8"/>
      <c r="G32" s="8"/>
      <c r="H32" s="8"/>
      <c r="I32" s="8"/>
      <c r="J32" s="44"/>
      <c r="K32" s="59"/>
      <c r="L32" s="44"/>
      <c r="M32" s="44"/>
      <c r="N32" s="59"/>
      <c r="O32" s="44"/>
      <c r="P32" s="44"/>
      <c r="Q32" s="8"/>
      <c r="R32" s="8"/>
    </row>
    <row r="33" spans="1:18" ht="15.75" customHeight="1" x14ac:dyDescent="0.2">
      <c r="A33" s="12">
        <f t="shared" si="0"/>
        <v>30</v>
      </c>
      <c r="B33" s="8" t="s">
        <v>195</v>
      </c>
      <c r="C33" s="7"/>
      <c r="D33" s="8"/>
      <c r="E33" s="8"/>
      <c r="F33" s="8"/>
      <c r="G33" s="8"/>
      <c r="H33" s="8"/>
      <c r="I33" s="8"/>
      <c r="J33" s="44"/>
      <c r="K33" s="59"/>
      <c r="L33" s="44"/>
      <c r="M33" s="44"/>
      <c r="N33" s="59"/>
      <c r="O33" s="44"/>
      <c r="P33" s="44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44"/>
      <c r="K34" s="44"/>
      <c r="L34" s="44"/>
      <c r="M34" s="44"/>
      <c r="N34" s="44"/>
      <c r="O34" s="44"/>
      <c r="P34" s="44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44"/>
      <c r="K35" s="44"/>
      <c r="L35" s="44"/>
      <c r="M35" s="44"/>
      <c r="N35" s="44"/>
      <c r="O35" s="44"/>
      <c r="P35" s="44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8" sqref="D18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33.140625" style="1" customWidth="1"/>
    <col min="5" max="5" width="17.85546875" style="1" customWidth="1"/>
    <col min="6" max="6" width="10.7109375" style="1" customWidth="1"/>
    <col min="7" max="7" width="8.140625" style="1" customWidth="1"/>
    <col min="8" max="8" width="14.28515625" style="1" customWidth="1"/>
    <col min="9" max="9" width="27.71093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51" x14ac:dyDescent="0.2">
      <c r="B1" s="13" t="s">
        <v>137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51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89.2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136</v>
      </c>
      <c r="J4" s="8" t="s">
        <v>24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17</v>
      </c>
      <c r="C5" s="7" t="s">
        <v>138</v>
      </c>
      <c r="D5" s="8" t="s">
        <v>139</v>
      </c>
      <c r="E5" s="8" t="s">
        <v>52</v>
      </c>
      <c r="F5" s="7" t="s">
        <v>42</v>
      </c>
      <c r="G5" s="8">
        <v>0</v>
      </c>
      <c r="H5" s="8" t="s">
        <v>135</v>
      </c>
      <c r="I5" s="8" t="s">
        <v>140</v>
      </c>
      <c r="J5" s="8" t="s">
        <v>25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18</v>
      </c>
      <c r="C6" s="7" t="s">
        <v>138</v>
      </c>
      <c r="D6" s="8" t="s">
        <v>141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147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1002" si="0">A6+1</f>
        <v>4</v>
      </c>
      <c r="B7" s="8" t="s">
        <v>19</v>
      </c>
      <c r="C7" s="7" t="s">
        <v>36</v>
      </c>
      <c r="D7" s="8" t="s">
        <v>142</v>
      </c>
      <c r="E7" s="8" t="s">
        <v>52</v>
      </c>
      <c r="F7" s="8" t="s">
        <v>43</v>
      </c>
      <c r="G7" s="8">
        <v>0</v>
      </c>
      <c r="H7" s="8" t="s">
        <v>44</v>
      </c>
      <c r="I7" s="8" t="s">
        <v>154</v>
      </c>
      <c r="J7" s="8" t="s">
        <v>148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20</v>
      </c>
      <c r="C8" s="7" t="s">
        <v>36</v>
      </c>
      <c r="D8" s="8" t="s">
        <v>146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149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21</v>
      </c>
      <c r="C9" s="7" t="s">
        <v>36</v>
      </c>
      <c r="D9" s="8" t="s">
        <v>143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150</v>
      </c>
      <c r="K9" s="8"/>
      <c r="L9" s="8"/>
      <c r="M9" s="8"/>
      <c r="N9" s="8"/>
      <c r="O9" s="8"/>
      <c r="P9" s="8"/>
      <c r="Q9" s="8"/>
      <c r="R9" s="8"/>
    </row>
    <row r="10" spans="1:37" ht="25.5" x14ac:dyDescent="0.2">
      <c r="A10" s="12">
        <f t="shared" si="0"/>
        <v>7</v>
      </c>
      <c r="B10" s="8" t="s">
        <v>22</v>
      </c>
      <c r="C10" s="7" t="s">
        <v>36</v>
      </c>
      <c r="D10" s="8" t="s">
        <v>144</v>
      </c>
      <c r="E10" s="8" t="s">
        <v>52</v>
      </c>
      <c r="F10" s="8" t="s">
        <v>43</v>
      </c>
      <c r="G10" s="8">
        <v>0</v>
      </c>
      <c r="H10" s="8" t="s">
        <v>44</v>
      </c>
      <c r="I10" s="8"/>
      <c r="J10" s="8" t="s">
        <v>151</v>
      </c>
      <c r="K10" s="8"/>
      <c r="L10" s="8"/>
      <c r="M10" s="8"/>
      <c r="N10" s="8"/>
      <c r="O10" s="8"/>
      <c r="P10" s="8"/>
      <c r="Q10" s="8"/>
      <c r="R10" s="8"/>
    </row>
    <row r="11" spans="1:37" ht="25.5" x14ac:dyDescent="0.2">
      <c r="A11" s="12">
        <f t="shared" si="0"/>
        <v>8</v>
      </c>
      <c r="B11" s="8" t="s">
        <v>23</v>
      </c>
      <c r="C11" s="7" t="s">
        <v>36</v>
      </c>
      <c r="D11" s="8" t="s">
        <v>145</v>
      </c>
      <c r="E11" s="8" t="s">
        <v>52</v>
      </c>
      <c r="F11" s="8" t="s">
        <v>43</v>
      </c>
      <c r="G11" s="8">
        <v>0</v>
      </c>
      <c r="H11" s="8" t="s">
        <v>44</v>
      </c>
      <c r="I11" s="8" t="s">
        <v>153</v>
      </c>
      <c r="J11" s="8" t="s">
        <v>152</v>
      </c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si="0"/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0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0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0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0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0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0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0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0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0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0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0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0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0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0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0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0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0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0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0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0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0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0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0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0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0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0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0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0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0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0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0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0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0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0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0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0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0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0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0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0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0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0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0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0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0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0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0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0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0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0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0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0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0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0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0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0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0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0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0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0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0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0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0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si="0"/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0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0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0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0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0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0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0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0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0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0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0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0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0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0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0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0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0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0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0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0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0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0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0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0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0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0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0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0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0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0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0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0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0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0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0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0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0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0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0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0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0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0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0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0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0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0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0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0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0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0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0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0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0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0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0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0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0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0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0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0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0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0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0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si="0"/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0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0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0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0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0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0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0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0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0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0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0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0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0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0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0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0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0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0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0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0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0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0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0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0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0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0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0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0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0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0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0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0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0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0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0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0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0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0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0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0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0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0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0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0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0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0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0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0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0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0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0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0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0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0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0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0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0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0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0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0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0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0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0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si="0"/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0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0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0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0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0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0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0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0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0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0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0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0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0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0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0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0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0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0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0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0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0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0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0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0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0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0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0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0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0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0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0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0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0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0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0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0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0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0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0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0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0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0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0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0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0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0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0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0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0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0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0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0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0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0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0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0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0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0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0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0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0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0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0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si="0"/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0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0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0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0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0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0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0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0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0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0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0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0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0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0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0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0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0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0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0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0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0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0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0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0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0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0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0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0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0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0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0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0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0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0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0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0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0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0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0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0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0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0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0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0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0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0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0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0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0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0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0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0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0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0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0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0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0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0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0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0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0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0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0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si="0"/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0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0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0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0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0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0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0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0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0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0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0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0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0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0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0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0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0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0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0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0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0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0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0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0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0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0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0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0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0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0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0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0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0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0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0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0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0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0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0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0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0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0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0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0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0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0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0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0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0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0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0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0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0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0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0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0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0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0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0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0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0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0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0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si="0"/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0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0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0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0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0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0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0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0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0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0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0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0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0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0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0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0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0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0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0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0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0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0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0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0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0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0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0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0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0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0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0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0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0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0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0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0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0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0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0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0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0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0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0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0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0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0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0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0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0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0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0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0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0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0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0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0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0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0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0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0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0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0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0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si="0"/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0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0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0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0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0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0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0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0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0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0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0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0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0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0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0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0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0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0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0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0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0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0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0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0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0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0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0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0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0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0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0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0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0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0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0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0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0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0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0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0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0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0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0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0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0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0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0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0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0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0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0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0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0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0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0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0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0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0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0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0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0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0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0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si="0"/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0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0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0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0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0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0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0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0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0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0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0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0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0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0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0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0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0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0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0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0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0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0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0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0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0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0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0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0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0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0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0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0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0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0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0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0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0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0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0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0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0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0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0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0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0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0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0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0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0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0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0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0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0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0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0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0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0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0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0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0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0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0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0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si="0"/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si="0"/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0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0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0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0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0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0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0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0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0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0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0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0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0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0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0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0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0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0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0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0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0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0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0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0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0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0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0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0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0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0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0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0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0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0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0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0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0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0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0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0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0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0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0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0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0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0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0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0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0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0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0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0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0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0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0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0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0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0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0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0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0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0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0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si="0"/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0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0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0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0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0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0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0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0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0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0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0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0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0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0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0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0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0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0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0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0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0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0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0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0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0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0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0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0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0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0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0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0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0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0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0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0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0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0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0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0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0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0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0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0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0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0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0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0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0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0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0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0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0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0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0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0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0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0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0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0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0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0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0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si="0"/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0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0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0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0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0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0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0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0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0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0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0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0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0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0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0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0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0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0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0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0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0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0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0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0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0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0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0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0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0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0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0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0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0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0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0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0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0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0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0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0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0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0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0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0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0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0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0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0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0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0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0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0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0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0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0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0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0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0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0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0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0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0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0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si="0"/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0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0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0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0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0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0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0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0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0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0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0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0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0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0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0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0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0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0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0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0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0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0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0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0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0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0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0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0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0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0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0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0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0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0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0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0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0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0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0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0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0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0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0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0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0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0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0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0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0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0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0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0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0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0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0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0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0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0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0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0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0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0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0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si="0"/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0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0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0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0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0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0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0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0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0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0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0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0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0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0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0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0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0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0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0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0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0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0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0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0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0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0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0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0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0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0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0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0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0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0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0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10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4.42578125" style="1" customWidth="1"/>
    <col min="4" max="4" width="33" style="1" customWidth="1"/>
    <col min="5" max="5" width="17.85546875" style="1" customWidth="1"/>
    <col min="6" max="6" width="17.5703125" style="1" customWidth="1"/>
    <col min="7" max="8" width="12.140625" style="1" customWidth="1"/>
    <col min="9" max="9" width="18.855468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155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4"/>
      <c r="B3" s="15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2.75" x14ac:dyDescent="0.2">
      <c r="A4" s="12">
        <v>1</v>
      </c>
      <c r="B4" s="7" t="s">
        <v>17</v>
      </c>
      <c r="C4" s="7" t="s">
        <v>138</v>
      </c>
      <c r="D4" s="8" t="s">
        <v>139</v>
      </c>
      <c r="E4" s="8" t="s">
        <v>52</v>
      </c>
      <c r="F4" s="7" t="s">
        <v>42</v>
      </c>
      <c r="G4" s="8">
        <v>0</v>
      </c>
      <c r="H4" s="8" t="s">
        <v>135</v>
      </c>
      <c r="I4" s="8" t="s">
        <v>140</v>
      </c>
      <c r="J4" s="8" t="s">
        <v>25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18</v>
      </c>
      <c r="C5" s="7" t="s">
        <v>138</v>
      </c>
      <c r="D5" s="8" t="s">
        <v>141</v>
      </c>
      <c r="E5" s="8" t="s">
        <v>52</v>
      </c>
      <c r="F5" s="8" t="s">
        <v>43</v>
      </c>
      <c r="G5" s="8">
        <v>0</v>
      </c>
      <c r="H5" s="8" t="s">
        <v>44</v>
      </c>
      <c r="I5" s="8" t="s">
        <v>154</v>
      </c>
      <c r="J5" s="8" t="s">
        <v>26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19</v>
      </c>
      <c r="C6" s="7" t="s">
        <v>36</v>
      </c>
      <c r="D6" s="8" t="s">
        <v>142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27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20</v>
      </c>
      <c r="C7" s="7" t="s">
        <v>36</v>
      </c>
      <c r="D7" s="8" t="s">
        <v>146</v>
      </c>
      <c r="E7" s="8" t="s">
        <v>52</v>
      </c>
      <c r="F7" s="8" t="s">
        <v>43</v>
      </c>
      <c r="G7" s="8">
        <v>0</v>
      </c>
      <c r="H7" s="8" t="s">
        <v>44</v>
      </c>
      <c r="I7" s="8"/>
      <c r="J7" s="8" t="s">
        <v>28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21</v>
      </c>
      <c r="C8" s="7" t="s">
        <v>36</v>
      </c>
      <c r="D8" s="8" t="s">
        <v>143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29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22</v>
      </c>
      <c r="C9" s="7" t="s">
        <v>36</v>
      </c>
      <c r="D9" s="8" t="s">
        <v>144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30</v>
      </c>
      <c r="K9" s="8"/>
      <c r="L9" s="8"/>
      <c r="M9" s="8"/>
      <c r="N9" s="8"/>
      <c r="O9" s="8"/>
      <c r="P9" s="8"/>
      <c r="Q9" s="8"/>
      <c r="R9" s="8"/>
    </row>
    <row r="10" spans="1:37" ht="12.75" x14ac:dyDescent="0.2">
      <c r="A10" s="12">
        <f t="shared" si="0"/>
        <v>7</v>
      </c>
      <c r="B10" s="8" t="s">
        <v>23</v>
      </c>
      <c r="C10" s="7" t="s">
        <v>36</v>
      </c>
      <c r="D10" s="8" t="s">
        <v>145</v>
      </c>
      <c r="E10" s="8" t="s">
        <v>52</v>
      </c>
      <c r="F10" s="8" t="s">
        <v>43</v>
      </c>
      <c r="G10" s="8">
        <v>0</v>
      </c>
      <c r="H10" s="8" t="s">
        <v>44</v>
      </c>
      <c r="I10" s="8" t="s">
        <v>153</v>
      </c>
      <c r="J10" s="8" t="s">
        <v>31</v>
      </c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7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42578125" style="1" customWidth="1"/>
    <col min="3" max="3" width="17.42578125" style="1" customWidth="1"/>
    <col min="4" max="5" width="17.85546875" style="1" customWidth="1"/>
    <col min="6" max="6" width="14.5703125" style="1" customWidth="1"/>
    <col min="7" max="7" width="12" style="1" customWidth="1"/>
    <col min="8" max="8" width="11.42578125" style="1" bestFit="1" customWidth="1"/>
    <col min="9" max="9" width="18.140625" style="1" customWidth="1"/>
    <col min="10" max="10" width="19.710937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32</v>
      </c>
      <c r="C4" s="7" t="s">
        <v>36</v>
      </c>
      <c r="D4" s="7" t="s">
        <v>37</v>
      </c>
      <c r="E4" s="7" t="s">
        <v>41</v>
      </c>
      <c r="F4" s="7" t="s">
        <v>42</v>
      </c>
      <c r="G4" s="8">
        <v>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25.5" x14ac:dyDescent="0.2">
      <c r="A5" s="12">
        <v>2</v>
      </c>
      <c r="B5" s="7" t="s">
        <v>33</v>
      </c>
      <c r="C5" s="7" t="s">
        <v>36</v>
      </c>
      <c r="D5" s="8" t="s">
        <v>38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171</v>
      </c>
      <c r="J5" s="8"/>
      <c r="K5" s="8"/>
      <c r="L5" s="8"/>
      <c r="M5" s="8"/>
      <c r="N5" s="8"/>
      <c r="O5" s="8"/>
      <c r="P5" s="8"/>
      <c r="Q5" s="8"/>
      <c r="R5" s="8"/>
    </row>
    <row r="6" spans="1:37" ht="38.25" x14ac:dyDescent="0.2">
      <c r="A6" s="12">
        <v>3</v>
      </c>
      <c r="B6" s="8" t="s">
        <v>34</v>
      </c>
      <c r="C6" s="7" t="s">
        <v>36</v>
      </c>
      <c r="D6" s="8" t="s">
        <v>39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172</v>
      </c>
      <c r="J6" s="8" t="s">
        <v>175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35</v>
      </c>
      <c r="C7" s="7" t="s">
        <v>36</v>
      </c>
      <c r="D7" s="8" t="s">
        <v>40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173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5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29.5703125" style="1" bestFit="1" customWidth="1"/>
    <col min="5" max="5" width="17.85546875" style="1" customWidth="1"/>
    <col min="6" max="6" width="13.85546875" style="1" customWidth="1"/>
    <col min="7" max="7" width="12" style="1" customWidth="1"/>
    <col min="8" max="8" width="11.42578125" style="1" bestFit="1" customWidth="1"/>
    <col min="9" max="9" width="18.85546875" style="1" customWidth="1"/>
    <col min="10" max="10" width="13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45</v>
      </c>
      <c r="C4" s="7" t="s">
        <v>36</v>
      </c>
      <c r="D4" s="7" t="s">
        <v>49</v>
      </c>
      <c r="E4" s="7" t="s">
        <v>52</v>
      </c>
      <c r="F4" s="7" t="s">
        <v>43</v>
      </c>
      <c r="G4" s="8">
        <v>0</v>
      </c>
      <c r="H4" s="8" t="s">
        <v>44</v>
      </c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46</v>
      </c>
      <c r="C5" s="7" t="s">
        <v>36</v>
      </c>
      <c r="D5" s="7" t="s">
        <v>50</v>
      </c>
      <c r="E5" s="7" t="s">
        <v>52</v>
      </c>
      <c r="F5" s="7" t="s">
        <v>43</v>
      </c>
      <c r="G5" s="8">
        <v>0</v>
      </c>
      <c r="H5" s="8" t="s">
        <v>44</v>
      </c>
      <c r="I5" s="8"/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/>
      <c r="B6" s="8" t="s">
        <v>47</v>
      </c>
      <c r="C6" s="7"/>
      <c r="D6" s="8"/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v>100</v>
      </c>
      <c r="B7" s="8" t="s">
        <v>48</v>
      </c>
      <c r="C7" s="7" t="s">
        <v>36</v>
      </c>
      <c r="D7" s="7" t="s">
        <v>51</v>
      </c>
      <c r="E7" s="7" t="s">
        <v>52</v>
      </c>
      <c r="F7" s="7" t="s">
        <v>43</v>
      </c>
      <c r="G7" s="8">
        <v>0</v>
      </c>
      <c r="H7" s="8" t="s">
        <v>44</v>
      </c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ref="A8:A70" si="0">A7+1</f>
        <v>101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102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103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104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105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106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107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108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109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110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111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112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113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114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115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116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117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118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119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120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121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122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123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124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125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126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127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128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129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130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131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132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133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134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135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136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137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138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139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140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141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142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143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144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145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146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147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148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149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150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151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152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153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154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155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156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157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158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159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160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161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162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163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164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165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166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167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168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169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170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171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172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173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174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175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176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177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178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179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180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181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182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183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184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185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186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187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188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189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190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191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192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193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194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195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196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197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198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199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200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201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202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203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204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205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206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207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208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209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210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211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212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213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214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215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216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217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218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219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220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221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222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223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224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225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226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227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228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229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230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231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232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233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234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235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236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237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238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239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240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241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242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243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244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245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246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247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248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249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250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251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252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253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254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255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256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257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258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259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260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261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262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263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264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265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266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267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268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269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270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271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272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273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274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275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276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277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278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279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280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281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282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283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284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285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286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287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288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289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290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291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292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293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294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295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296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297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298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299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300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301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302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303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304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305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306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307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308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309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310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311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312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313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314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315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316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317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318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319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320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321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322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323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324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325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326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327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328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329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330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331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332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333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334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335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336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337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338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339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340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341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342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343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344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345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346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347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348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349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350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351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352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353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354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355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356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357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358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359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360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361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362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363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364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365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366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367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368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369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370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371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372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373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374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375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376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377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378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379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380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381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382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383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384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385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386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387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388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389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390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391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392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393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394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395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396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397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398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399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400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401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402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403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404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405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406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407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408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409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410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411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412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413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414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415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416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417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418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419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420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421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422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423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424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425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426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427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428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429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430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431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432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433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434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435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436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437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438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439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440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441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442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443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444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445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446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447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448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449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450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451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452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453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454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455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456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457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458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459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460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461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462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463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464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465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466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467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468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469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470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471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472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473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474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475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476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477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478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479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480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481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482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483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484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485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486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487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488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489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490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491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492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493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494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495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496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497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498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499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500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501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502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503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504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505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506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507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508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509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510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511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512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513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514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515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516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517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518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519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520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521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522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523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524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525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526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527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528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529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530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531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532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533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534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535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536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537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538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539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540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541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542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543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544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545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546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547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548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549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550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551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552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553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554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555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556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557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558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559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560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561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562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563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564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565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566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567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568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569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570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571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572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573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574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575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576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577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578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579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580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581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582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583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584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585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586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587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588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589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590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591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592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593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594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595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596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597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598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599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600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601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602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603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604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605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606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607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608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609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610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611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612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613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614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615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616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617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618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619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620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621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622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623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624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625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626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627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628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629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630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631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632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633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634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635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636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637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638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639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640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641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642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643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644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645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646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647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648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649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650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651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652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653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654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655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656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657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658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659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660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661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662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663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664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665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666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667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668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669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670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671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672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673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674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675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676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677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678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679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680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681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682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683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684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685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686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687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688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689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690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691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692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693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694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695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696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697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698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699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700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701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702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703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704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705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706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707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708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709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710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711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712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713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714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715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716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717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718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719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720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721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722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723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724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725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726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727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728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729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730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731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732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733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734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735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736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737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738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739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740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741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742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743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744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745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746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747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748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749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750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751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752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753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754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755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756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757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758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759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760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761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762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763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764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765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766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767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768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769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770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771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772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773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774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775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776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777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778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779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780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781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782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783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784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785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786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787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788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789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790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791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792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793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794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795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796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797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798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799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800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801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802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803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804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805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806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807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808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809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810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811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812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813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814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815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816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817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818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819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820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821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822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823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824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825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826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827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828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829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830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831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832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833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834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835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836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837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838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839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840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841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842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843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844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845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846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847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848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849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850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851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852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853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854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855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856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857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858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859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860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861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862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863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864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865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866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867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868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869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870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871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872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873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874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875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876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877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878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879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880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881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882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883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884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885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886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887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888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889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890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891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892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893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894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895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896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897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898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899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900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901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902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903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904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905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906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907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908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909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910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911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912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913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914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915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916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917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918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919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920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921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922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923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924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925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926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927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928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929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930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931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932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933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934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935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936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937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938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939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940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941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942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943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944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945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946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947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948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949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950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951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952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953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954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955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956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957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958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959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960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961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962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963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964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965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966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967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968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969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970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971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972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973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974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975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976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977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978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979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980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981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982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983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984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985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986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987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988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989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990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991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992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993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994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995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996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997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998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999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1000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1001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1002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1003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1004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1005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1006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1007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1008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1009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1010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1011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1012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1013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1014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1015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1016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1017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1018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1019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1020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1021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1022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1023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1024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1025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1026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1027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1028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1029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1030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1031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1032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1033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1034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1035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1036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1037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1038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1039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1040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1041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1042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1043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1044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1045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1046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1047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1048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1049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1050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1051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1052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1053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1054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1055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1056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1057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1058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1059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1060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1061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1062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1063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1064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1065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1066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1067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1068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1069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1070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1071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1072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1073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1074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1075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1076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1077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1078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1079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1080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1081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1082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1083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1084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1085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1086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1087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1088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1089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1090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1091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1092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1093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1094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1095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Views>
    <sheetView topLeftCell="D1" workbookViewId="0">
      <selection activeCell="I2" sqref="I2:M53"/>
    </sheetView>
  </sheetViews>
  <sheetFormatPr baseColWidth="10" defaultRowHeight="12.75" x14ac:dyDescent="0.2"/>
  <cols>
    <col min="2" max="2" width="24" customWidth="1"/>
    <col min="3" max="5" width="22.42578125" customWidth="1"/>
    <col min="9" max="9" width="9.5703125" customWidth="1"/>
    <col min="10" max="10" width="6.5703125" customWidth="1"/>
    <col min="11" max="11" width="13" customWidth="1"/>
    <col min="12" max="12" width="5.7109375" customWidth="1"/>
    <col min="13" max="13" width="9.42578125" customWidth="1"/>
  </cols>
  <sheetData>
    <row r="1" spans="1:13" x14ac:dyDescent="0.2">
      <c r="A1" s="23" t="s">
        <v>186</v>
      </c>
      <c r="B1" s="17" t="s">
        <v>164</v>
      </c>
      <c r="C1" s="16"/>
      <c r="D1" s="16"/>
      <c r="E1" s="16"/>
      <c r="F1" s="16"/>
      <c r="H1" t="s">
        <v>176</v>
      </c>
    </row>
    <row r="2" spans="1:13" x14ac:dyDescent="0.2">
      <c r="A2" s="16"/>
      <c r="B2" s="17"/>
      <c r="C2" s="16"/>
      <c r="D2" s="16"/>
      <c r="E2" s="16"/>
      <c r="F2" s="16"/>
      <c r="I2" s="24" t="s">
        <v>177</v>
      </c>
      <c r="J2" s="24"/>
      <c r="K2" s="24"/>
      <c r="L2" s="24"/>
      <c r="M2" s="24"/>
    </row>
    <row r="3" spans="1:13" x14ac:dyDescent="0.2">
      <c r="A3" s="16"/>
      <c r="B3" s="18" t="s">
        <v>163</v>
      </c>
      <c r="C3" s="16"/>
      <c r="D3" s="16"/>
      <c r="E3" s="16"/>
      <c r="F3" s="16"/>
      <c r="I3" s="24"/>
      <c r="J3" s="25" t="s">
        <v>180</v>
      </c>
      <c r="K3" s="26"/>
      <c r="L3" s="26"/>
      <c r="M3" s="27"/>
    </row>
    <row r="4" spans="1:13" x14ac:dyDescent="0.2">
      <c r="A4" s="16"/>
      <c r="B4" s="18" t="s">
        <v>156</v>
      </c>
      <c r="C4" s="16"/>
      <c r="D4" s="16"/>
      <c r="E4" s="16"/>
      <c r="F4" s="16"/>
      <c r="I4" s="24"/>
      <c r="J4" s="28"/>
      <c r="K4" s="29" t="s">
        <v>179</v>
      </c>
      <c r="L4" s="30"/>
      <c r="M4" s="31"/>
    </row>
    <row r="5" spans="1:13" x14ac:dyDescent="0.2">
      <c r="A5" s="16"/>
      <c r="B5" s="16"/>
      <c r="C5" s="16"/>
      <c r="D5" s="16"/>
      <c r="E5" s="16"/>
      <c r="F5" s="16"/>
      <c r="I5" s="24"/>
      <c r="J5" s="28"/>
      <c r="K5" s="29" t="s">
        <v>187</v>
      </c>
      <c r="L5" s="30"/>
      <c r="M5" s="31"/>
    </row>
    <row r="6" spans="1:13" x14ac:dyDescent="0.2">
      <c r="A6" s="16"/>
      <c r="B6" s="16"/>
      <c r="C6" s="17" t="s">
        <v>157</v>
      </c>
      <c r="D6" s="17" t="s">
        <v>158</v>
      </c>
      <c r="E6" s="17" t="s">
        <v>159</v>
      </c>
      <c r="F6" s="16"/>
      <c r="I6" s="24"/>
      <c r="J6" s="28"/>
      <c r="K6" s="29" t="s">
        <v>181</v>
      </c>
      <c r="L6" s="30"/>
      <c r="M6" s="31"/>
    </row>
    <row r="7" spans="1:13" x14ac:dyDescent="0.2">
      <c r="A7" s="16"/>
      <c r="B7" s="16"/>
      <c r="C7" s="17"/>
      <c r="D7" s="17"/>
      <c r="E7" s="17"/>
      <c r="F7" s="16"/>
      <c r="I7" s="24"/>
      <c r="J7" s="28"/>
      <c r="K7" s="32"/>
      <c r="L7" s="30">
        <v>0</v>
      </c>
      <c r="M7" s="31"/>
    </row>
    <row r="8" spans="1:13" x14ac:dyDescent="0.2">
      <c r="A8" s="16"/>
      <c r="B8" s="16"/>
      <c r="C8" s="19" t="s">
        <v>161</v>
      </c>
      <c r="D8" s="19" t="s">
        <v>165</v>
      </c>
      <c r="E8" s="19" t="s">
        <v>168</v>
      </c>
      <c r="F8" s="16"/>
      <c r="I8" s="24"/>
      <c r="J8" s="28"/>
      <c r="K8" s="32"/>
      <c r="L8" s="30"/>
      <c r="M8" s="33" t="s">
        <v>182</v>
      </c>
    </row>
    <row r="9" spans="1:13" x14ac:dyDescent="0.2">
      <c r="A9" s="16"/>
      <c r="B9" s="16"/>
      <c r="C9" s="20" t="s">
        <v>162</v>
      </c>
      <c r="D9" s="20" t="s">
        <v>166</v>
      </c>
      <c r="E9" s="20" t="s">
        <v>169</v>
      </c>
      <c r="F9" s="16"/>
      <c r="I9" s="24"/>
      <c r="J9" s="28"/>
      <c r="K9" s="32"/>
      <c r="L9" s="30"/>
      <c r="M9" s="33" t="s">
        <v>183</v>
      </c>
    </row>
    <row r="10" spans="1:13" x14ac:dyDescent="0.2">
      <c r="A10" s="16"/>
      <c r="B10" s="16"/>
      <c r="C10" s="21"/>
      <c r="D10" s="21"/>
      <c r="E10" s="21"/>
      <c r="F10" s="16"/>
      <c r="I10" s="24"/>
      <c r="J10" s="28"/>
      <c r="K10" s="32"/>
      <c r="L10" s="30"/>
      <c r="M10" s="33" t="s">
        <v>184</v>
      </c>
    </row>
    <row r="11" spans="1:13" x14ac:dyDescent="0.2">
      <c r="A11" s="16"/>
      <c r="B11" s="16"/>
      <c r="C11" s="22" t="s">
        <v>160</v>
      </c>
      <c r="D11" s="22" t="s">
        <v>167</v>
      </c>
      <c r="E11" s="22" t="s">
        <v>170</v>
      </c>
      <c r="F11" s="16"/>
      <c r="I11" s="24"/>
      <c r="J11" s="28"/>
      <c r="K11" s="32"/>
      <c r="L11" s="30">
        <v>1</v>
      </c>
      <c r="M11" s="31"/>
    </row>
    <row r="12" spans="1:13" x14ac:dyDescent="0.2">
      <c r="A12" s="16"/>
      <c r="B12" s="16"/>
      <c r="C12" s="16"/>
      <c r="D12" s="16"/>
      <c r="E12" s="16"/>
      <c r="F12" s="16"/>
      <c r="I12" s="24"/>
      <c r="J12" s="28"/>
      <c r="K12" s="32"/>
      <c r="L12" s="30"/>
      <c r="M12" s="33" t="s">
        <v>182</v>
      </c>
    </row>
    <row r="13" spans="1:13" x14ac:dyDescent="0.2">
      <c r="I13" s="24"/>
      <c r="J13" s="28"/>
      <c r="K13" s="32"/>
      <c r="L13" s="30"/>
      <c r="M13" s="33" t="s">
        <v>183</v>
      </c>
    </row>
    <row r="14" spans="1:13" x14ac:dyDescent="0.2">
      <c r="I14" s="24"/>
      <c r="J14" s="28"/>
      <c r="K14" s="32"/>
      <c r="L14" s="30"/>
      <c r="M14" s="33" t="s">
        <v>184</v>
      </c>
    </row>
    <row r="15" spans="1:13" x14ac:dyDescent="0.2">
      <c r="I15" s="24"/>
      <c r="J15" s="28"/>
      <c r="K15" s="32"/>
      <c r="L15" s="34" t="s">
        <v>47</v>
      </c>
      <c r="M15" s="31"/>
    </row>
    <row r="16" spans="1:13" x14ac:dyDescent="0.2">
      <c r="I16" s="24"/>
      <c r="J16" s="28"/>
      <c r="K16" s="32"/>
      <c r="L16" s="30">
        <v>600</v>
      </c>
      <c r="M16" s="31"/>
    </row>
    <row r="17" spans="9:13" x14ac:dyDescent="0.2">
      <c r="I17" s="24"/>
      <c r="J17" s="28"/>
      <c r="K17" s="32"/>
      <c r="L17" s="30"/>
      <c r="M17" s="33" t="s">
        <v>182</v>
      </c>
    </row>
    <row r="18" spans="9:13" x14ac:dyDescent="0.2">
      <c r="I18" s="24"/>
      <c r="J18" s="28"/>
      <c r="K18" s="32"/>
      <c r="L18" s="30"/>
      <c r="M18" s="33" t="s">
        <v>183</v>
      </c>
    </row>
    <row r="19" spans="9:13" x14ac:dyDescent="0.2">
      <c r="I19" s="24"/>
      <c r="J19" s="35"/>
      <c r="K19" s="36"/>
      <c r="L19" s="37"/>
      <c r="M19" s="38" t="s">
        <v>184</v>
      </c>
    </row>
    <row r="20" spans="9:13" x14ac:dyDescent="0.2">
      <c r="I20" s="24"/>
      <c r="J20" s="25" t="s">
        <v>185</v>
      </c>
      <c r="K20" s="39"/>
      <c r="L20" s="26"/>
      <c r="M20" s="27"/>
    </row>
    <row r="21" spans="9:13" x14ac:dyDescent="0.2">
      <c r="I21" s="24"/>
      <c r="J21" s="28"/>
      <c r="K21" s="29" t="s">
        <v>179</v>
      </c>
      <c r="L21" s="30"/>
      <c r="M21" s="31"/>
    </row>
    <row r="22" spans="9:13" x14ac:dyDescent="0.2">
      <c r="I22" s="24"/>
      <c r="J22" s="28"/>
      <c r="K22" s="29" t="s">
        <v>187</v>
      </c>
      <c r="L22" s="30"/>
      <c r="M22" s="31"/>
    </row>
    <row r="23" spans="9:13" x14ac:dyDescent="0.2">
      <c r="I23" s="24"/>
      <c r="J23" s="28"/>
      <c r="K23" s="29" t="s">
        <v>181</v>
      </c>
      <c r="L23" s="30"/>
      <c r="M23" s="31"/>
    </row>
    <row r="24" spans="9:13" x14ac:dyDescent="0.2">
      <c r="I24" s="24"/>
      <c r="J24" s="28"/>
      <c r="K24" s="32"/>
      <c r="L24" s="30">
        <v>100</v>
      </c>
      <c r="M24" s="31"/>
    </row>
    <row r="25" spans="9:13" x14ac:dyDescent="0.2">
      <c r="I25" s="24"/>
      <c r="J25" s="28"/>
      <c r="K25" s="32"/>
      <c r="L25" s="30"/>
      <c r="M25" s="33" t="s">
        <v>182</v>
      </c>
    </row>
    <row r="26" spans="9:13" x14ac:dyDescent="0.2">
      <c r="I26" s="24"/>
      <c r="J26" s="28"/>
      <c r="K26" s="32"/>
      <c r="L26" s="30"/>
      <c r="M26" s="33" t="s">
        <v>183</v>
      </c>
    </row>
    <row r="27" spans="9:13" x14ac:dyDescent="0.2">
      <c r="I27" s="24"/>
      <c r="J27" s="28"/>
      <c r="K27" s="32"/>
      <c r="L27" s="30"/>
      <c r="M27" s="33" t="s">
        <v>184</v>
      </c>
    </row>
    <row r="28" spans="9:13" x14ac:dyDescent="0.2">
      <c r="I28" s="24"/>
      <c r="J28" s="28"/>
      <c r="K28" s="32"/>
      <c r="L28" s="30">
        <v>101</v>
      </c>
      <c r="M28" s="31"/>
    </row>
    <row r="29" spans="9:13" x14ac:dyDescent="0.2">
      <c r="I29" s="24"/>
      <c r="J29" s="28"/>
      <c r="K29" s="32"/>
      <c r="L29" s="30"/>
      <c r="M29" s="33" t="s">
        <v>182</v>
      </c>
    </row>
    <row r="30" spans="9:13" x14ac:dyDescent="0.2">
      <c r="I30" s="24"/>
      <c r="J30" s="28"/>
      <c r="K30" s="32"/>
      <c r="L30" s="30"/>
      <c r="M30" s="33" t="s">
        <v>183</v>
      </c>
    </row>
    <row r="31" spans="9:13" x14ac:dyDescent="0.2">
      <c r="I31" s="24"/>
      <c r="J31" s="28"/>
      <c r="K31" s="32"/>
      <c r="L31" s="30"/>
      <c r="M31" s="33" t="s">
        <v>184</v>
      </c>
    </row>
    <row r="32" spans="9:13" x14ac:dyDescent="0.2">
      <c r="I32" s="24"/>
      <c r="J32" s="28"/>
      <c r="K32" s="32"/>
      <c r="L32" s="34" t="s">
        <v>47</v>
      </c>
      <c r="M32" s="31"/>
    </row>
    <row r="33" spans="9:13" x14ac:dyDescent="0.2">
      <c r="I33" s="24"/>
      <c r="J33" s="28"/>
      <c r="K33" s="32"/>
      <c r="L33" s="30">
        <v>2037</v>
      </c>
      <c r="M33" s="31"/>
    </row>
    <row r="34" spans="9:13" x14ac:dyDescent="0.2">
      <c r="I34" s="24"/>
      <c r="J34" s="28"/>
      <c r="K34" s="32"/>
      <c r="L34" s="30"/>
      <c r="M34" s="33" t="s">
        <v>182</v>
      </c>
    </row>
    <row r="35" spans="9:13" x14ac:dyDescent="0.2">
      <c r="I35" s="24"/>
      <c r="J35" s="28"/>
      <c r="K35" s="32"/>
      <c r="L35" s="30"/>
      <c r="M35" s="33" t="s">
        <v>183</v>
      </c>
    </row>
    <row r="36" spans="9:13" x14ac:dyDescent="0.2">
      <c r="I36" s="24"/>
      <c r="J36" s="35"/>
      <c r="K36" s="36"/>
      <c r="L36" s="37"/>
      <c r="M36" s="38" t="s">
        <v>184</v>
      </c>
    </row>
    <row r="37" spans="9:13" x14ac:dyDescent="0.2">
      <c r="I37" s="24"/>
      <c r="J37" s="25" t="s">
        <v>178</v>
      </c>
      <c r="K37" s="39"/>
      <c r="L37" s="26"/>
      <c r="M37" s="27"/>
    </row>
    <row r="38" spans="9:13" x14ac:dyDescent="0.2">
      <c r="I38" s="24"/>
      <c r="J38" s="28"/>
      <c r="K38" s="29" t="s">
        <v>179</v>
      </c>
      <c r="L38" s="30"/>
      <c r="M38" s="31"/>
    </row>
    <row r="39" spans="9:13" x14ac:dyDescent="0.2">
      <c r="I39" s="24"/>
      <c r="J39" s="28"/>
      <c r="K39" s="29" t="s">
        <v>187</v>
      </c>
      <c r="L39" s="30"/>
      <c r="M39" s="31"/>
    </row>
    <row r="40" spans="9:13" x14ac:dyDescent="0.2">
      <c r="I40" s="24"/>
      <c r="J40" s="28"/>
      <c r="K40" s="29" t="s">
        <v>181</v>
      </c>
      <c r="L40" s="30"/>
      <c r="M40" s="31"/>
    </row>
    <row r="41" spans="9:13" x14ac:dyDescent="0.2">
      <c r="I41" s="24"/>
      <c r="J41" s="28"/>
      <c r="K41" s="32"/>
      <c r="L41" s="30">
        <v>1000</v>
      </c>
      <c r="M41" s="31"/>
    </row>
    <row r="42" spans="9:13" x14ac:dyDescent="0.2">
      <c r="I42" s="24"/>
      <c r="J42" s="28"/>
      <c r="K42" s="30"/>
      <c r="L42" s="30"/>
      <c r="M42" s="33" t="s">
        <v>182</v>
      </c>
    </row>
    <row r="43" spans="9:13" x14ac:dyDescent="0.2">
      <c r="I43" s="24"/>
      <c r="J43" s="28"/>
      <c r="K43" s="30"/>
      <c r="L43" s="30"/>
      <c r="M43" s="33" t="s">
        <v>183</v>
      </c>
    </row>
    <row r="44" spans="9:13" x14ac:dyDescent="0.2">
      <c r="I44" s="24"/>
      <c r="J44" s="28"/>
      <c r="K44" s="30"/>
      <c r="L44" s="30"/>
      <c r="M44" s="33" t="s">
        <v>184</v>
      </c>
    </row>
    <row r="45" spans="9:13" x14ac:dyDescent="0.2">
      <c r="I45" s="24"/>
      <c r="J45" s="28"/>
      <c r="K45" s="30"/>
      <c r="L45" s="30">
        <v>1001</v>
      </c>
      <c r="M45" s="31"/>
    </row>
    <row r="46" spans="9:13" x14ac:dyDescent="0.2">
      <c r="I46" s="24"/>
      <c r="J46" s="28"/>
      <c r="K46" s="30"/>
      <c r="L46" s="30"/>
      <c r="M46" s="33" t="s">
        <v>182</v>
      </c>
    </row>
    <row r="47" spans="9:13" x14ac:dyDescent="0.2">
      <c r="I47" s="24"/>
      <c r="J47" s="28"/>
      <c r="K47" s="30"/>
      <c r="L47" s="30"/>
      <c r="M47" s="33" t="s">
        <v>183</v>
      </c>
    </row>
    <row r="48" spans="9:13" x14ac:dyDescent="0.2">
      <c r="I48" s="24"/>
      <c r="J48" s="28"/>
      <c r="K48" s="30"/>
      <c r="L48" s="30"/>
      <c r="M48" s="33" t="s">
        <v>184</v>
      </c>
    </row>
    <row r="49" spans="9:13" x14ac:dyDescent="0.2">
      <c r="I49" s="24"/>
      <c r="J49" s="28"/>
      <c r="K49" s="30"/>
      <c r="L49" s="34" t="s">
        <v>47</v>
      </c>
      <c r="M49" s="31"/>
    </row>
    <row r="50" spans="9:13" x14ac:dyDescent="0.2">
      <c r="I50" s="24"/>
      <c r="J50" s="28"/>
      <c r="K50" s="30"/>
      <c r="L50" s="30">
        <v>11999</v>
      </c>
      <c r="M50" s="31"/>
    </row>
    <row r="51" spans="9:13" x14ac:dyDescent="0.2">
      <c r="I51" s="24"/>
      <c r="J51" s="28"/>
      <c r="K51" s="30"/>
      <c r="L51" s="30"/>
      <c r="M51" s="33" t="s">
        <v>182</v>
      </c>
    </row>
    <row r="52" spans="9:13" x14ac:dyDescent="0.2">
      <c r="I52" s="24"/>
      <c r="J52" s="28"/>
      <c r="K52" s="30"/>
      <c r="L52" s="30"/>
      <c r="M52" s="33" t="s">
        <v>183</v>
      </c>
    </row>
    <row r="53" spans="9:13" x14ac:dyDescent="0.2">
      <c r="I53" s="24"/>
      <c r="J53" s="35"/>
      <c r="K53" s="37"/>
      <c r="L53" s="37"/>
      <c r="M53" s="38" t="s">
        <v>184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design-points-01.csv</vt:lpstr>
      <vt:lpstr>design-points-02.csv</vt:lpstr>
      <vt:lpstr>design-points-03.csv</vt:lpstr>
      <vt:lpstr>mode-ident-full-0x.dat</vt:lpstr>
      <vt:lpstr>tbl-modes-(dp).dat</vt:lpstr>
      <vt:lpstr>tbl-nodes-(dp).dat</vt:lpstr>
      <vt:lpstr>tbl-defs-(dp).dat</vt:lpstr>
      <vt:lpstr>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Brouet, Francois</dc:creator>
  <cp:lastModifiedBy>Brouet, Francois</cp:lastModifiedBy>
  <dcterms:created xsi:type="dcterms:W3CDTF">2025-02-27T13:34:49Z</dcterms:created>
  <dcterms:modified xsi:type="dcterms:W3CDTF">2025-08-26T12:56:02Z</dcterms:modified>
</cp:coreProperties>
</file>